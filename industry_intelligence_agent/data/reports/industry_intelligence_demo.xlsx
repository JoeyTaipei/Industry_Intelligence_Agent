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ny_Profile" sheetId="1" state="visible" r:id="rId1"/>
    <sheet name="News_Articles" sheetId="2" state="visible" r:id="rId2"/>
    <sheet name="KRI_Evidence" sheetId="3" state="visible" r:id="rId3"/>
    <sheet name="Summary_By_Company" sheetId="4" state="visible" r:id="rId4"/>
    <sheet name="Dashboard_View" sheetId="5" state="visible" r:id="rId5"/>
  </sheets>
  <definedNames>
    <definedName name="_xlnm._FilterDatabase" localSheetId="0" hidden="1">'Company_Profile'!$A$1:$J$2</definedName>
    <definedName name="_xlnm._FilterDatabase" localSheetId="1" hidden="1">'News_Articles'!$A$1:$H$7</definedName>
    <definedName name="_xlnm._FilterDatabase" localSheetId="2" hidden="1">'KRI_Evidence'!$A$1:$I$29</definedName>
    <definedName name="_xlnm._FilterDatabase" localSheetId="3" hidden="1">'Summary_By_Company'!$A$1:$H$2</definedName>
    <definedName name="_xlnm._FilterDatabase" localSheetId="4" hidden="1">'Dashboard_View'!$A$3:$J$4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AF7"/>
        <b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D9EAD3"/>
          <b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15" customWidth="1" min="4" max="4"/>
    <col width="39" customWidth="1" min="5" max="5"/>
    <col width="25" customWidth="1" min="6" max="6"/>
    <col width="12" customWidth="1" min="7" max="7"/>
    <col width="17" customWidth="1" min="8" max="8"/>
    <col width="14" customWidth="1" min="9" max="9"/>
    <col width="13" customWidth="1" min="10" max="10"/>
  </cols>
  <sheetData>
    <row r="1">
      <c r="A1" s="1" t="inlineStr">
        <is>
          <t>company_id</t>
        </is>
      </c>
      <c r="B1" s="1" t="inlineStr">
        <is>
          <t>ticker</t>
        </is>
      </c>
      <c r="C1" s="1" t="inlineStr">
        <is>
          <t>company_name</t>
        </is>
      </c>
      <c r="D1" s="1" t="inlineStr">
        <is>
          <t>industry</t>
        </is>
      </c>
      <c r="E1" s="1" t="inlineStr">
        <is>
          <t>address</t>
        </is>
      </c>
      <c r="F1" s="1" t="inlineStr">
        <is>
          <t>unified_business_number</t>
        </is>
      </c>
      <c r="G1" s="1" t="inlineStr">
        <is>
          <t>chairman</t>
        </is>
      </c>
      <c r="H1" s="1" t="inlineStr">
        <is>
          <t>general_manager</t>
        </is>
      </c>
      <c r="I1" s="1" t="inlineStr">
        <is>
          <t>listing_date</t>
        </is>
      </c>
      <c r="J1" s="1" t="inlineStr">
        <is>
          <t>source</t>
        </is>
      </c>
    </row>
    <row r="2">
      <c r="A2" t="inlineStr">
        <is>
          <t>2330</t>
        </is>
      </c>
      <c r="B2" t="inlineStr">
        <is>
          <t>2330.TW</t>
        </is>
      </c>
      <c r="C2" t="inlineStr">
        <is>
          <t>Taiwan Semiconductor Manufacturing Company</t>
        </is>
      </c>
      <c r="D2" t="inlineStr">
        <is>
          <t>semiconductor</t>
        </is>
      </c>
      <c r="E2" t="inlineStr">
        <is>
          <t>Hsinchu Science Park, Hsinchu, Taiwan</t>
        </is>
      </c>
      <c r="F2" t="inlineStr">
        <is>
          <t>22099131</t>
        </is>
      </c>
      <c r="G2" t="inlineStr">
        <is>
          <t>Mark Liu</t>
        </is>
      </c>
      <c r="H2" t="inlineStr">
        <is>
          <t>C.C. Wei</t>
        </is>
      </c>
      <c r="I2" t="inlineStr">
        <is>
          <t>1994-09-05</t>
        </is>
      </c>
      <c r="J2" t="inlineStr">
        <is>
          <t>sample_data</t>
        </is>
      </c>
    </row>
  </sheetData>
  <autoFilter ref="A1:J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5" customWidth="1" min="2" max="2"/>
    <col width="45" customWidth="1" min="3" max="3"/>
    <col width="16" customWidth="1" min="4" max="4"/>
    <col width="45" customWidth="1" min="5" max="5"/>
    <col width="34" customWidth="1" min="6" max="6"/>
    <col width="18" customWidth="1" min="7" max="7"/>
    <col width="20" customWidth="1" min="8" max="8"/>
  </cols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url</t>
        </is>
      </c>
      <c r="D1" s="1" t="inlineStr">
        <is>
          <t>published_date</t>
        </is>
      </c>
      <c r="E1" s="1" t="inlineStr">
        <is>
          <t>summary</t>
        </is>
      </c>
      <c r="F1" s="1" t="inlineStr">
        <is>
          <t>keyword</t>
        </is>
      </c>
      <c r="G1" s="1" t="inlineStr">
        <is>
          <t>company_name</t>
        </is>
      </c>
      <c r="H1" s="1" t="inlineStr">
        <is>
          <t>industry</t>
        </is>
      </c>
    </row>
    <row r="2">
      <c r="A2" t="inlineStr">
        <is>
          <t>Demo Business RSS</t>
        </is>
      </c>
      <c r="B2" t="inlineStr">
        <is>
          <t>Taiwan AI server supply chain expands capacity</t>
        </is>
      </c>
      <c r="C2" t="inlineStr">
        <is>
          <t>https://example.com/demo/taiwan-ai-server-capacity</t>
        </is>
      </c>
      <c r="D2" t="inlineStr">
        <is>
          <t>2026-04-20</t>
        </is>
      </c>
      <c r="E2" t="inlineStr">
        <is>
          <t>Quanta, Wistron, and Foxconn are increasing AI server production capacity as cloud customers request more advanced systems.</t>
        </is>
      </c>
      <c r="F2" t="inlineStr">
        <is>
          <t>AI server</t>
        </is>
      </c>
      <c r="G2" t="inlineStr">
        <is>
          <t>Quanta</t>
        </is>
      </c>
      <c r="H2" t="inlineStr">
        <is>
          <t>AI server</t>
        </is>
      </c>
    </row>
    <row r="3">
      <c r="A3" t="inlineStr">
        <is>
          <t>Demo Technology RSS</t>
        </is>
      </c>
      <c r="B3" t="inlineStr">
        <is>
          <t>Advanced chip demand remains linked to AI accelerator growth</t>
        </is>
      </c>
      <c r="C3" t="inlineStr">
        <is>
          <t>https://example.com/demo/advanced-chip-ai-demand</t>
        </is>
      </c>
      <c r="D3" t="inlineStr">
        <is>
          <t>2026-04-18</t>
        </is>
      </c>
      <c r="E3" t="inlineStr">
        <is>
          <t>TSMC and related semiconductor suppliers see demand signals from AI accelerators, advanced packaging, and high performance computing.</t>
        </is>
      </c>
      <c r="F3" t="inlineStr">
        <is>
          <t>TSMC semiconductor AI</t>
        </is>
      </c>
      <c r="G3" t="inlineStr">
        <is>
          <t>TSMC</t>
        </is>
      </c>
      <c r="H3" t="inlineStr">
        <is>
          <t>semiconductor</t>
        </is>
      </c>
    </row>
    <row r="4">
      <c r="A4" t="inlineStr">
        <is>
          <t>Demo Finance RSS</t>
        </is>
      </c>
      <c r="B4" t="inlineStr">
        <is>
          <t>Working capital pressure rises as AI hardware orders become more volatile</t>
        </is>
      </c>
      <c r="C4" t="inlineStr">
        <is>
          <t>https://example.com/demo/working-capital-ai-hardware</t>
        </is>
      </c>
      <c r="D4" t="inlineStr">
        <is>
          <t>2026-04-15</t>
        </is>
      </c>
      <c r="E4" t="inlineStr">
        <is>
          <t>AI server manufacturers face inventory planning challenges because demand is strong but order timing can shift quickly across customers.</t>
        </is>
      </c>
      <c r="F4" t="inlineStr">
        <is>
          <t>working capital risk</t>
        </is>
      </c>
      <c r="G4" t="inlineStr">
        <is>
          <t>Wistron</t>
        </is>
      </c>
      <c r="H4" t="inlineStr">
        <is>
          <t>manufacturing</t>
        </is>
      </c>
    </row>
    <row r="5">
      <c r="A5" t="inlineStr">
        <is>
          <t>Demo Market RSS</t>
        </is>
      </c>
      <c r="B5" t="inlineStr">
        <is>
          <t>Export controls and geopolitical tension remain key semiconductor risks</t>
        </is>
      </c>
      <c r="C5" t="inlineStr">
        <is>
          <t>https://example.com/demo/export-controls-semiconductor-risk</t>
        </is>
      </c>
      <c r="D5" t="inlineStr">
        <is>
          <t>2026-04-12</t>
        </is>
      </c>
      <c r="E5" t="inlineStr">
        <is>
          <t>Taiwan semiconductor companies continue to monitor export controls and geopolitical uncertainty as part of operating risk management.</t>
        </is>
      </c>
      <c r="F5" t="inlineStr">
        <is>
          <t>geopolitical risk semiconductor</t>
        </is>
      </c>
      <c r="G5" t="inlineStr">
        <is>
          <t>TSMC</t>
        </is>
      </c>
      <c r="H5" t="inlineStr">
        <is>
          <t>semiconductor</t>
        </is>
      </c>
    </row>
    <row r="6">
      <c r="A6" t="inlineStr">
        <is>
          <t>Demo Cyber RSS</t>
        </is>
      </c>
      <c r="B6" t="inlineStr">
        <is>
          <t>Manufacturing digitization increases cybersecurity and production continuity focus</t>
        </is>
      </c>
      <c r="C6" t="inlineStr">
        <is>
          <t>https://example.com/demo/manufacturing-cyber-risk</t>
        </is>
      </c>
      <c r="D6" t="inlineStr">
        <is>
          <t>2026-04-09</t>
        </is>
      </c>
      <c r="E6" t="inlineStr">
        <is>
          <t>As factories connect more equipment and production data, manufacturers are investing in cybersecurity monitoring and operational resilience.</t>
        </is>
      </c>
      <c r="F6" t="inlineStr">
        <is>
          <t>cyber digital risk manufacturing</t>
        </is>
      </c>
      <c r="G6" t="inlineStr">
        <is>
          <t>Foxconn</t>
        </is>
      </c>
      <c r="H6" t="inlineStr">
        <is>
          <t>manufacturing</t>
        </is>
      </c>
    </row>
    <row r="7">
      <c r="A7" t="inlineStr">
        <is>
          <t>Demo Financial Services RSS</t>
        </is>
      </c>
      <c r="B7" t="inlineStr">
        <is>
          <t>Taiwan banks monitor credit exposure to cyclical technology supply chains</t>
        </is>
      </c>
      <c r="C7" t="inlineStr">
        <is>
          <t>https://example.com/demo/bank-credit-tech-cycle</t>
        </is>
      </c>
      <c r="D7" t="inlineStr">
        <is>
          <t>2026-04-05</t>
        </is>
      </c>
      <c r="E7" t="inlineStr">
        <is>
          <t>Financial institutions are watching credit exposure to technology suppliers because inventory cycles and customer concentration can affect working capital needs.</t>
        </is>
      </c>
      <c r="F7" t="inlineStr">
        <is>
          <t>bank credit risk Taiwan</t>
        </is>
      </c>
      <c r="G7" t="inlineStr">
        <is>
          <t>Cathay Financial</t>
        </is>
      </c>
      <c r="H7" t="inlineStr">
        <is>
          <t>financial services</t>
        </is>
      </c>
    </row>
  </sheetData>
  <autoFilter ref="A1:H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15" customWidth="1" min="3" max="3"/>
    <col width="15" customWidth="1" min="4" max="4"/>
    <col width="29" customWidth="1" min="5" max="5"/>
    <col width="24" customWidth="1" min="6" max="6"/>
    <col width="45" customWidth="1" min="7" max="7"/>
    <col width="15" customWidth="1" min="8" max="8"/>
    <col width="17" customWidth="1" min="9" max="9"/>
  </cols>
  <sheetData>
    <row r="1">
      <c r="A1" s="1" t="inlineStr">
        <is>
          <t>source_id</t>
        </is>
      </c>
      <c r="B1" s="1" t="inlineStr">
        <is>
          <t>company_name</t>
        </is>
      </c>
      <c r="C1" s="1" t="inlineStr">
        <is>
          <t>industry</t>
        </is>
      </c>
      <c r="D1" s="1" t="inlineStr">
        <is>
          <t>source_type</t>
        </is>
      </c>
      <c r="E1" s="1" t="inlineStr">
        <is>
          <t>kri_category</t>
        </is>
      </c>
      <c r="F1" s="1" t="inlineStr">
        <is>
          <t>matched_keyword</t>
        </is>
      </c>
      <c r="G1" s="1" t="inlineStr">
        <is>
          <t>evidence_sentence</t>
        </is>
      </c>
      <c r="H1" s="1" t="inlineStr">
        <is>
          <t>severity_hint</t>
        </is>
      </c>
      <c r="I1" s="1" t="inlineStr">
        <is>
          <t>risk_score_hint</t>
        </is>
      </c>
    </row>
    <row r="2">
      <c r="A2" t="inlineStr">
        <is>
          <t>news_articles</t>
        </is>
      </c>
      <c r="B2" t="inlineStr">
        <is>
          <t>Taiwan Semiconductor Manufacturing Company</t>
        </is>
      </c>
      <c r="C2" t="inlineStr">
        <is>
          <t>semiconductor</t>
        </is>
      </c>
      <c r="D2" t="inlineStr">
        <is>
          <t>news</t>
        </is>
      </c>
      <c r="E2" t="inlineStr">
        <is>
          <t>supply chain risk</t>
        </is>
      </c>
      <c r="F2" t="inlineStr">
        <is>
          <t>supply chain</t>
        </is>
      </c>
      <c r="G2" t="inlineStr">
        <is>
          <t>Taiwan AI server supply chain expands capacity.</t>
        </is>
      </c>
      <c r="H2" t="inlineStr">
        <is>
          <t>low</t>
        </is>
      </c>
      <c r="I2" t="n">
        <v>1</v>
      </c>
    </row>
    <row r="3">
      <c r="A3" t="inlineStr">
        <is>
          <t>news_articles</t>
        </is>
      </c>
      <c r="B3" t="inlineStr">
        <is>
          <t>Taiwan Semiconductor Manufacturing Company</t>
        </is>
      </c>
      <c r="C3" t="inlineStr">
        <is>
          <t>semiconductor</t>
        </is>
      </c>
      <c r="D3" t="inlineStr">
        <is>
          <t>news</t>
        </is>
      </c>
      <c r="E3" t="inlineStr">
        <is>
          <t>supply chain risk</t>
        </is>
      </c>
      <c r="F3" t="inlineStr">
        <is>
          <t>supplier</t>
        </is>
      </c>
      <c r="G3" t="inlineStr">
        <is>
          <t>TSMC and related semiconductor suppliers see demand signals from AI accelerators, advanced packaging, and high performance computing.</t>
        </is>
      </c>
      <c r="H3" t="inlineStr">
        <is>
          <t>low</t>
        </is>
      </c>
      <c r="I3" t="n">
        <v>1</v>
      </c>
    </row>
    <row r="4">
      <c r="A4" t="inlineStr">
        <is>
          <t>news_articles</t>
        </is>
      </c>
      <c r="B4" t="inlineStr">
        <is>
          <t>Taiwan Semiconductor Manufacturing Company</t>
        </is>
      </c>
      <c r="C4" t="inlineStr">
        <is>
          <t>semiconductor</t>
        </is>
      </c>
      <c r="D4" t="inlineStr">
        <is>
          <t>news</t>
        </is>
      </c>
      <c r="E4" t="inlineStr">
        <is>
          <t>liquidity risk</t>
        </is>
      </c>
      <c r="F4" t="inlineStr">
        <is>
          <t>working capital</t>
        </is>
      </c>
      <c r="G4" t="inlineStr">
        <is>
          <t>Working capital pressure rises as AI hardware orders become more volatile.</t>
        </is>
      </c>
      <c r="H4" t="inlineStr">
        <is>
          <t>medium</t>
        </is>
      </c>
      <c r="I4" t="n">
        <v>2</v>
      </c>
    </row>
    <row r="5">
      <c r="A5" t="inlineStr">
        <is>
          <t>news_articles</t>
        </is>
      </c>
      <c r="B5" t="inlineStr">
        <is>
          <t>Taiwan Semiconductor Manufacturing Company</t>
        </is>
      </c>
      <c r="C5" t="inlineStr">
        <is>
          <t>semiconductor</t>
        </is>
      </c>
      <c r="D5" t="inlineStr">
        <is>
          <t>news</t>
        </is>
      </c>
      <c r="E5" t="inlineStr">
        <is>
          <t>geopolitical risk</t>
        </is>
      </c>
      <c r="F5" t="inlineStr">
        <is>
          <t>war</t>
        </is>
      </c>
      <c r="G5" t="inlineStr">
        <is>
          <t>Working capital pressure rises as AI hardware orders become more volatile.</t>
        </is>
      </c>
      <c r="H5" t="inlineStr">
        <is>
          <t>medium</t>
        </is>
      </c>
      <c r="I5" t="n">
        <v>2</v>
      </c>
    </row>
    <row r="6">
      <c r="A6" t="inlineStr">
        <is>
          <t>news_articles</t>
        </is>
      </c>
      <c r="B6" t="inlineStr">
        <is>
          <t>Taiwan Semiconductor Manufacturing Company</t>
        </is>
      </c>
      <c r="C6" t="inlineStr">
        <is>
          <t>semiconductor</t>
        </is>
      </c>
      <c r="D6" t="inlineStr">
        <is>
          <t>news</t>
        </is>
      </c>
      <c r="E6" t="inlineStr">
        <is>
          <t>inventory risk</t>
        </is>
      </c>
      <c r="F6" t="inlineStr">
        <is>
          <t>inventory</t>
        </is>
      </c>
      <c r="G6" t="inlineStr">
        <is>
          <t>AI server manufacturers face inventory planning challenges because demand is strong but order timing can shift quickly across customers.</t>
        </is>
      </c>
      <c r="H6" t="inlineStr">
        <is>
          <t>medium</t>
        </is>
      </c>
      <c r="I6" t="n">
        <v>2</v>
      </c>
    </row>
    <row r="7">
      <c r="A7" t="inlineStr">
        <is>
          <t>news_articles</t>
        </is>
      </c>
      <c r="B7" t="inlineStr">
        <is>
          <t>Taiwan Semiconductor Manufacturing Company</t>
        </is>
      </c>
      <c r="C7" t="inlineStr">
        <is>
          <t>semiconductor</t>
        </is>
      </c>
      <c r="D7" t="inlineStr">
        <is>
          <t>news</t>
        </is>
      </c>
      <c r="E7" t="inlineStr">
        <is>
          <t>geopolitical risk</t>
        </is>
      </c>
      <c r="F7" t="inlineStr">
        <is>
          <t>geopolitical</t>
        </is>
      </c>
      <c r="G7" t="inlineStr">
        <is>
          <t>Export controls and geopolitical tension remain key semiconductor risks.</t>
        </is>
      </c>
      <c r="H7" t="inlineStr">
        <is>
          <t>medium</t>
        </is>
      </c>
      <c r="I7" t="n">
        <v>2</v>
      </c>
    </row>
    <row r="8">
      <c r="A8" t="inlineStr">
        <is>
          <t>news_articles</t>
        </is>
      </c>
      <c r="B8" t="inlineStr">
        <is>
          <t>Taiwan Semiconductor Manufacturing Company</t>
        </is>
      </c>
      <c r="C8" t="inlineStr">
        <is>
          <t>semiconductor</t>
        </is>
      </c>
      <c r="D8" t="inlineStr">
        <is>
          <t>news</t>
        </is>
      </c>
      <c r="E8" t="inlineStr">
        <is>
          <t>geopolitical risk</t>
        </is>
      </c>
      <c r="F8" t="inlineStr">
        <is>
          <t>geopolitical</t>
        </is>
      </c>
      <c r="G8" t="inlineStr">
        <is>
          <t>Taiwan semiconductor companies continue to monitor export controls and geopolitical uncertainty as part of operating risk management.</t>
        </is>
      </c>
      <c r="H8" t="inlineStr">
        <is>
          <t>medium</t>
        </is>
      </c>
      <c r="I8" t="n">
        <v>2</v>
      </c>
    </row>
    <row r="9">
      <c r="A9" t="inlineStr">
        <is>
          <t>news_articles</t>
        </is>
      </c>
      <c r="B9" t="inlineStr">
        <is>
          <t>Taiwan Semiconductor Manufacturing Company</t>
        </is>
      </c>
      <c r="C9" t="inlineStr">
        <is>
          <t>semiconductor</t>
        </is>
      </c>
      <c r="D9" t="inlineStr">
        <is>
          <t>news</t>
        </is>
      </c>
      <c r="E9" t="inlineStr">
        <is>
          <t>cyber / digital risk</t>
        </is>
      </c>
      <c r="F9" t="inlineStr">
        <is>
          <t>cyber</t>
        </is>
      </c>
      <c r="G9" t="inlineStr">
        <is>
          <t>Manufacturing digitization increases cybersecurity and production continuity focus.</t>
        </is>
      </c>
      <c r="H9" t="inlineStr">
        <is>
          <t>medium</t>
        </is>
      </c>
      <c r="I9" t="n">
        <v>2</v>
      </c>
    </row>
    <row r="10">
      <c r="A10" t="inlineStr">
        <is>
          <t>news_articles</t>
        </is>
      </c>
      <c r="B10" t="inlineStr">
        <is>
          <t>Taiwan Semiconductor Manufacturing Company</t>
        </is>
      </c>
      <c r="C10" t="inlineStr">
        <is>
          <t>semiconductor</t>
        </is>
      </c>
      <c r="D10" t="inlineStr">
        <is>
          <t>news</t>
        </is>
      </c>
      <c r="E10" t="inlineStr">
        <is>
          <t>cyber / digital risk</t>
        </is>
      </c>
      <c r="F10" t="inlineStr">
        <is>
          <t>cyber</t>
        </is>
      </c>
      <c r="G10" t="inlineStr">
        <is>
          <t>As factories connect more equipment and production data, manufacturers are investing in cybersecurity monitoring and operational resilience.</t>
        </is>
      </c>
      <c r="H10" t="inlineStr">
        <is>
          <t>low</t>
        </is>
      </c>
      <c r="I10" t="n">
        <v>1</v>
      </c>
    </row>
    <row r="11">
      <c r="A11" t="inlineStr">
        <is>
          <t>news_articles</t>
        </is>
      </c>
      <c r="B11" t="inlineStr">
        <is>
          <t>Taiwan Semiconductor Manufacturing Company</t>
        </is>
      </c>
      <c r="C11" t="inlineStr">
        <is>
          <t>semiconductor</t>
        </is>
      </c>
      <c r="D11" t="inlineStr">
        <is>
          <t>news</t>
        </is>
      </c>
      <c r="E11" t="inlineStr">
        <is>
          <t>supply chain risk</t>
        </is>
      </c>
      <c r="F11" t="inlineStr">
        <is>
          <t>supply chain</t>
        </is>
      </c>
      <c r="G11" t="inlineStr">
        <is>
          <t>Taiwan banks monitor credit exposure to cyclical technology supply chains.</t>
        </is>
      </c>
      <c r="H11" t="inlineStr">
        <is>
          <t>low</t>
        </is>
      </c>
      <c r="I11" t="n">
        <v>1</v>
      </c>
    </row>
    <row r="12">
      <c r="A12" t="inlineStr">
        <is>
          <t>news_articles</t>
        </is>
      </c>
      <c r="B12" t="inlineStr">
        <is>
          <t>Taiwan Semiconductor Manufacturing Company</t>
        </is>
      </c>
      <c r="C12" t="inlineStr">
        <is>
          <t>semiconductor</t>
        </is>
      </c>
      <c r="D12" t="inlineStr">
        <is>
          <t>news</t>
        </is>
      </c>
      <c r="E12" t="inlineStr">
        <is>
          <t>liquidity risk</t>
        </is>
      </c>
      <c r="F12" t="inlineStr">
        <is>
          <t>working capital</t>
        </is>
      </c>
      <c r="G12" t="inlineStr">
        <is>
          <t>Financial institutions are watching credit exposure to technology suppliers because inventory cycles and customer concentration can affect working capital needs.</t>
        </is>
      </c>
      <c r="H12" t="inlineStr">
        <is>
          <t>low</t>
        </is>
      </c>
      <c r="I12" t="n">
        <v>1</v>
      </c>
    </row>
    <row r="13">
      <c r="A13" t="inlineStr">
        <is>
          <t>news_articles</t>
        </is>
      </c>
      <c r="B13" t="inlineStr">
        <is>
          <t>Taiwan Semiconductor Manufacturing Company</t>
        </is>
      </c>
      <c r="C13" t="inlineStr">
        <is>
          <t>semiconductor</t>
        </is>
      </c>
      <c r="D13" t="inlineStr">
        <is>
          <t>news</t>
        </is>
      </c>
      <c r="E13" t="inlineStr">
        <is>
          <t>inventory risk</t>
        </is>
      </c>
      <c r="F13" t="inlineStr">
        <is>
          <t>inventory</t>
        </is>
      </c>
      <c r="G13" t="inlineStr">
        <is>
          <t>Financial institutions are watching credit exposure to technology suppliers because inventory cycles and customer concentration can affect working capital needs.</t>
        </is>
      </c>
      <c r="H13" t="inlineStr">
        <is>
          <t>low</t>
        </is>
      </c>
      <c r="I13" t="n">
        <v>1</v>
      </c>
    </row>
    <row r="14">
      <c r="A14" t="inlineStr">
        <is>
          <t>news_articles</t>
        </is>
      </c>
      <c r="B14" t="inlineStr">
        <is>
          <t>Taiwan Semiconductor Manufacturing Company</t>
        </is>
      </c>
      <c r="C14" t="inlineStr">
        <is>
          <t>semiconductor</t>
        </is>
      </c>
      <c r="D14" t="inlineStr">
        <is>
          <t>news</t>
        </is>
      </c>
      <c r="E14" t="inlineStr">
        <is>
          <t>supply chain risk</t>
        </is>
      </c>
      <c r="F14" t="inlineStr">
        <is>
          <t>supplier</t>
        </is>
      </c>
      <c r="G14" t="inlineStr">
        <is>
          <t>Financial institutions are watching credit exposure to technology suppliers because inventory cycles and customer concentration can affect working capital needs.</t>
        </is>
      </c>
      <c r="H14" t="inlineStr">
        <is>
          <t>low</t>
        </is>
      </c>
      <c r="I14" t="n">
        <v>1</v>
      </c>
    </row>
    <row r="15">
      <c r="A15" t="inlineStr">
        <is>
          <t>news_articles</t>
        </is>
      </c>
      <c r="B15" t="inlineStr">
        <is>
          <t>Taiwan Semiconductor Manufacturing Company</t>
        </is>
      </c>
      <c r="C15" t="inlineStr">
        <is>
          <t>semiconductor</t>
        </is>
      </c>
      <c r="D15" t="inlineStr">
        <is>
          <t>news</t>
        </is>
      </c>
      <c r="E15" t="inlineStr">
        <is>
          <t>customer concentration risk</t>
        </is>
      </c>
      <c r="F15" t="inlineStr">
        <is>
          <t>customer concentration</t>
        </is>
      </c>
      <c r="G15" t="inlineStr">
        <is>
          <t>Financial institutions are watching credit exposure to technology suppliers because inventory cycles and customer concentration can affect working capital needs.</t>
        </is>
      </c>
      <c r="H15" t="inlineStr">
        <is>
          <t>low</t>
        </is>
      </c>
      <c r="I15" t="n">
        <v>1</v>
      </c>
    </row>
    <row r="16">
      <c r="A16" t="inlineStr">
        <is>
          <t>annual_report_text</t>
        </is>
      </c>
      <c r="B16" t="inlineStr">
        <is>
          <t>Taiwan Semiconductor Manufacturing Company</t>
        </is>
      </c>
      <c r="C16" t="inlineStr">
        <is>
          <t>semiconductor</t>
        </is>
      </c>
      <c r="D16" t="inlineStr">
        <is>
          <t>annual_report</t>
        </is>
      </c>
      <c r="E16" t="inlineStr">
        <is>
          <t>supply chain risk</t>
        </is>
      </c>
      <c r="F16" t="inlineStr">
        <is>
          <t>supplier</t>
        </is>
      </c>
      <c r="G16" t="inlineStr">
        <is>
          <t>The business depends on customer forecasts, supplier readiness, and production capacity planning.</t>
        </is>
      </c>
      <c r="H16" t="inlineStr">
        <is>
          <t>low</t>
        </is>
      </c>
      <c r="I16" t="n">
        <v>1</v>
      </c>
    </row>
    <row r="17">
      <c r="A17" t="inlineStr">
        <is>
          <t>annual_report_text</t>
        </is>
      </c>
      <c r="B17" t="inlineStr">
        <is>
          <t>Taiwan Semiconductor Manufacturing Company</t>
        </is>
      </c>
      <c r="C17" t="inlineStr">
        <is>
          <t>semiconductor</t>
        </is>
      </c>
      <c r="D17" t="inlineStr">
        <is>
          <t>annual_report</t>
        </is>
      </c>
      <c r="E17" t="inlineStr">
        <is>
          <t>supply chain risk</t>
        </is>
      </c>
      <c r="F17" t="inlineStr">
        <is>
          <t>supplier</t>
        </is>
      </c>
      <c r="G17" t="inlineStr">
        <is>
          <t>Risk Factors Material supplier shortages may delay production and affect delivery schedules.</t>
        </is>
      </c>
      <c r="H17" t="inlineStr">
        <is>
          <t>high</t>
        </is>
      </c>
      <c r="I17" t="n">
        <v>3</v>
      </c>
    </row>
    <row r="18">
      <c r="A18" t="inlineStr">
        <is>
          <t>annual_report_text</t>
        </is>
      </c>
      <c r="B18" t="inlineStr">
        <is>
          <t>Taiwan Semiconductor Manufacturing Company</t>
        </is>
      </c>
      <c r="C18" t="inlineStr">
        <is>
          <t>semiconductor</t>
        </is>
      </c>
      <c r="D18" t="inlineStr">
        <is>
          <t>annual_report</t>
        </is>
      </c>
      <c r="E18" t="inlineStr">
        <is>
          <t>customer concentration risk</t>
        </is>
      </c>
      <c r="F18" t="inlineStr">
        <is>
          <t>customer concentration</t>
        </is>
      </c>
      <c r="G18" t="inlineStr">
        <is>
          <t>Customer concentration may increase revenue volatility if major cloud customers change order plans.</t>
        </is>
      </c>
      <c r="H18" t="inlineStr">
        <is>
          <t>medium</t>
        </is>
      </c>
      <c r="I18" t="n">
        <v>2</v>
      </c>
    </row>
    <row r="19">
      <c r="A19" t="inlineStr">
        <is>
          <t>annual_report_text</t>
        </is>
      </c>
      <c r="B19" t="inlineStr">
        <is>
          <t>Taiwan Semiconductor Manufacturing Company</t>
        </is>
      </c>
      <c r="C19" t="inlineStr">
        <is>
          <t>semiconductor</t>
        </is>
      </c>
      <c r="D19" t="inlineStr">
        <is>
          <t>annual_report</t>
        </is>
      </c>
      <c r="E19" t="inlineStr">
        <is>
          <t>geopolitical risk</t>
        </is>
      </c>
      <c r="F19" t="inlineStr">
        <is>
          <t>geopolitical</t>
        </is>
      </c>
      <c r="G19" t="inlineStr">
        <is>
          <t>Geopolitical uncertainty, export controls, cybersecurity threats, and energy requirements may create operating risk.</t>
        </is>
      </c>
      <c r="H19" t="inlineStr">
        <is>
          <t>medium</t>
        </is>
      </c>
      <c r="I19" t="n">
        <v>2</v>
      </c>
    </row>
    <row r="20">
      <c r="A20" t="inlineStr">
        <is>
          <t>annual_report_text</t>
        </is>
      </c>
      <c r="B20" t="inlineStr">
        <is>
          <t>Taiwan Semiconductor Manufacturing Company</t>
        </is>
      </c>
      <c r="C20" t="inlineStr">
        <is>
          <t>semiconductor</t>
        </is>
      </c>
      <c r="D20" t="inlineStr">
        <is>
          <t>annual_report</t>
        </is>
      </c>
      <c r="E20" t="inlineStr">
        <is>
          <t>cyber / digital risk</t>
        </is>
      </c>
      <c r="F20" t="inlineStr">
        <is>
          <t>cyber</t>
        </is>
      </c>
      <c r="G20" t="inlineStr">
        <is>
          <t>Geopolitical uncertainty, export controls, cybersecurity threats, and energy requirements may create operating risk.</t>
        </is>
      </c>
      <c r="H20" t="inlineStr">
        <is>
          <t>medium</t>
        </is>
      </c>
      <c r="I20" t="n">
        <v>2</v>
      </c>
    </row>
    <row r="21">
      <c r="A21" t="inlineStr">
        <is>
          <t>annual_report_text</t>
        </is>
      </c>
      <c r="B21" t="inlineStr">
        <is>
          <t>Taiwan Semiconductor Manufacturing Company</t>
        </is>
      </c>
      <c r="C21" t="inlineStr">
        <is>
          <t>semiconductor</t>
        </is>
      </c>
      <c r="D21" t="inlineStr">
        <is>
          <t>annual_report</t>
        </is>
      </c>
      <c r="E21" t="inlineStr">
        <is>
          <t>inventory risk</t>
        </is>
      </c>
      <c r="F21" t="inlineStr">
        <is>
          <t>inventory</t>
        </is>
      </c>
      <c r="G21" t="inlineStr">
        <is>
          <t>Financial Overview Inventory levels may increase when production is prepared ahead of confirmed delivery schedules.</t>
        </is>
      </c>
      <c r="H21" t="inlineStr">
        <is>
          <t>medium</t>
        </is>
      </c>
      <c r="I21" t="n">
        <v>2</v>
      </c>
    </row>
    <row r="22">
      <c r="A22" t="inlineStr">
        <is>
          <t>annual_report_text</t>
        </is>
      </c>
      <c r="B22" t="inlineStr">
        <is>
          <t>Taiwan Semiconductor Manufacturing Company</t>
        </is>
      </c>
      <c r="C22" t="inlineStr">
        <is>
          <t>semiconductor</t>
        </is>
      </c>
      <c r="D22" t="inlineStr">
        <is>
          <t>annual_report</t>
        </is>
      </c>
      <c r="E22" t="inlineStr">
        <is>
          <t>liquidity risk</t>
        </is>
      </c>
      <c r="F22" t="inlineStr">
        <is>
          <t>working capital</t>
        </is>
      </c>
      <c r="G22" t="inlineStr">
        <is>
          <t>Accounts receivable and working capital should be monitored because large enterprise customers may have different payment terms.</t>
        </is>
      </c>
      <c r="H22" t="inlineStr">
        <is>
          <t>low</t>
        </is>
      </c>
      <c r="I22" t="n">
        <v>1</v>
      </c>
    </row>
    <row r="23">
      <c r="A23" t="inlineStr">
        <is>
          <t>annual_report_text</t>
        </is>
      </c>
      <c r="B23" t="inlineStr">
        <is>
          <t>Taiwan Semiconductor Manufacturing Company</t>
        </is>
      </c>
      <c r="C23" t="inlineStr">
        <is>
          <t>semiconductor</t>
        </is>
      </c>
      <c r="D23" t="inlineStr">
        <is>
          <t>annual_report</t>
        </is>
      </c>
      <c r="E23" t="inlineStr">
        <is>
          <t>receivables risk</t>
        </is>
      </c>
      <c r="F23" t="inlineStr">
        <is>
          <t>accounts receivable</t>
        </is>
      </c>
      <c r="G23" t="inlineStr">
        <is>
          <t>Accounts receivable and working capital should be monitored because large enterprise customers may have different payment terms.</t>
        </is>
      </c>
      <c r="H23" t="inlineStr">
        <is>
          <t>low</t>
        </is>
      </c>
      <c r="I23" t="n">
        <v>1</v>
      </c>
    </row>
    <row r="24">
      <c r="A24" t="inlineStr">
        <is>
          <t>annual_report_text</t>
        </is>
      </c>
      <c r="B24" t="inlineStr">
        <is>
          <t>Taiwan Semiconductor Manufacturing Company</t>
        </is>
      </c>
      <c r="C24" t="inlineStr">
        <is>
          <t>semiconductor</t>
        </is>
      </c>
      <c r="D24" t="inlineStr">
        <is>
          <t>annual_report</t>
        </is>
      </c>
      <c r="E24" t="inlineStr">
        <is>
          <t>cash flow risk</t>
        </is>
      </c>
      <c r="F24" t="inlineStr">
        <is>
          <t>cash flow</t>
        </is>
      </c>
      <c r="G24" t="inlineStr">
        <is>
          <t>Capital expenditure and cash flow planning are important when demand requires capacity expansion.</t>
        </is>
      </c>
      <c r="H24" t="inlineStr">
        <is>
          <t>low</t>
        </is>
      </c>
      <c r="I24" t="n">
        <v>1</v>
      </c>
    </row>
    <row r="25">
      <c r="A25" t="inlineStr">
        <is>
          <t>annual_report_text</t>
        </is>
      </c>
      <c r="B25" t="inlineStr">
        <is>
          <t>Taiwan Semiconductor Manufacturing Company</t>
        </is>
      </c>
      <c r="C25" t="inlineStr">
        <is>
          <t>semiconductor</t>
        </is>
      </c>
      <c r="D25" t="inlineStr">
        <is>
          <t>annual_report</t>
        </is>
      </c>
      <c r="E25" t="inlineStr">
        <is>
          <t>supply chain risk</t>
        </is>
      </c>
      <c r="F25" t="inlineStr">
        <is>
          <t>supplier</t>
        </is>
      </c>
      <c r="G25" t="inlineStr">
        <is>
          <t>Management Discussion Management continues to focus on operational resilience, supplier diversification, production efficiency, data-driven planning, and cybersecurity readiness.</t>
        </is>
      </c>
      <c r="H25" t="inlineStr">
        <is>
          <t>low</t>
        </is>
      </c>
      <c r="I25" t="n">
        <v>1</v>
      </c>
    </row>
    <row r="26">
      <c r="A26" t="inlineStr">
        <is>
          <t>annual_report_text</t>
        </is>
      </c>
      <c r="B26" t="inlineStr">
        <is>
          <t>Taiwan Semiconductor Manufacturing Company</t>
        </is>
      </c>
      <c r="C26" t="inlineStr">
        <is>
          <t>semiconductor</t>
        </is>
      </c>
      <c r="D26" t="inlineStr">
        <is>
          <t>annual_report</t>
        </is>
      </c>
      <c r="E26" t="inlineStr">
        <is>
          <t>cyber / digital risk</t>
        </is>
      </c>
      <c r="F26" t="inlineStr">
        <is>
          <t>cyber</t>
        </is>
      </c>
      <c r="G26" t="inlineStr">
        <is>
          <t>Management Discussion Management continues to focus on operational resilience, supplier diversification, production efficiency, data-driven planning, and cybersecurity readiness.</t>
        </is>
      </c>
      <c r="H26" t="inlineStr">
        <is>
          <t>low</t>
        </is>
      </c>
      <c r="I26" t="n">
        <v>1</v>
      </c>
    </row>
    <row r="27">
      <c r="A27" t="inlineStr">
        <is>
          <t>annual_report_text</t>
        </is>
      </c>
      <c r="B27" t="inlineStr">
        <is>
          <t>Taiwan Semiconductor Manufacturing Company</t>
        </is>
      </c>
      <c r="C27" t="inlineStr">
        <is>
          <t>semiconductor</t>
        </is>
      </c>
      <c r="D27" t="inlineStr">
        <is>
          <t>annual_report</t>
        </is>
      </c>
      <c r="E27" t="inlineStr">
        <is>
          <t>geopolitical risk</t>
        </is>
      </c>
      <c r="F27" t="inlineStr">
        <is>
          <t>export control</t>
        </is>
      </c>
      <c r="G27" t="inlineStr">
        <is>
          <t>Industry Outlook AI infrastructure investment may support long-term demand, but the industry faces pressure from export controls, component availability, and energy usage.</t>
        </is>
      </c>
      <c r="H27" t="inlineStr">
        <is>
          <t>medium</t>
        </is>
      </c>
      <c r="I27" t="n">
        <v>2</v>
      </c>
    </row>
    <row r="28">
      <c r="A28" t="inlineStr">
        <is>
          <t>annual_report_text</t>
        </is>
      </c>
      <c r="B28" t="inlineStr">
        <is>
          <t>Taiwan Semiconductor Manufacturing Company</t>
        </is>
      </c>
      <c r="C28" t="inlineStr">
        <is>
          <t>semiconductor</t>
        </is>
      </c>
      <c r="D28" t="inlineStr">
        <is>
          <t>annual_report</t>
        </is>
      </c>
      <c r="E28" t="inlineStr">
        <is>
          <t>liquidity risk</t>
        </is>
      </c>
      <c r="F28" t="inlineStr">
        <is>
          <t>working capital</t>
        </is>
      </c>
      <c r="G28" t="inlineStr">
        <is>
          <t>Future Outlook Digital tools for demand forecasting, supplier monitoring, working capital tracking, and KPI dashboards may improve visibility across the value chain.</t>
        </is>
      </c>
      <c r="H28" t="inlineStr">
        <is>
          <t>low</t>
        </is>
      </c>
      <c r="I28" t="n">
        <v>1</v>
      </c>
    </row>
    <row r="29">
      <c r="A29" t="inlineStr">
        <is>
          <t>annual_report_text</t>
        </is>
      </c>
      <c r="B29" t="inlineStr">
        <is>
          <t>Taiwan Semiconductor Manufacturing Company</t>
        </is>
      </c>
      <c r="C29" t="inlineStr">
        <is>
          <t>semiconductor</t>
        </is>
      </c>
      <c r="D29" t="inlineStr">
        <is>
          <t>annual_report</t>
        </is>
      </c>
      <c r="E29" t="inlineStr">
        <is>
          <t>supply chain risk</t>
        </is>
      </c>
      <c r="F29" t="inlineStr">
        <is>
          <t>supplier</t>
        </is>
      </c>
      <c r="G29" t="inlineStr">
        <is>
          <t>Future Outlook Digital tools for demand forecasting, supplier monitoring, working capital tracking, and KPI dashboards may improve visibility across the value chain.</t>
        </is>
      </c>
      <c r="H29" t="inlineStr">
        <is>
          <t>low</t>
        </is>
      </c>
      <c r="I29" t="n">
        <v>1</v>
      </c>
    </row>
  </sheetData>
  <autoFilter ref="A1:I29"/>
  <conditionalFormatting sqref="H2:H29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  <cfRule type="cellIs" priority="4" operator="equal" dxfId="0">
      <formula>"High"</formula>
    </cfRule>
    <cfRule type="cellIs" priority="5" operator="equal" dxfId="1">
      <formula>"Medium"</formula>
    </cfRule>
    <cfRule type="cellIs" priority="6" operator="equal" dxfId="2">
      <formula>"Low"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5" customWidth="1" min="2" max="2"/>
    <col width="18" customWidth="1" min="3" max="3"/>
    <col width="17" customWidth="1" min="4" max="4"/>
    <col width="25" customWidth="1" min="5" max="5"/>
    <col width="27" customWidth="1" min="6" max="6"/>
    <col width="24" customWidth="1" min="7" max="7"/>
    <col width="16" customWidth="1" min="8" max="8"/>
  </cols>
  <sheetData>
    <row r="1">
      <c r="A1" s="1" t="inlineStr">
        <is>
          <t>company_name</t>
        </is>
      </c>
      <c r="B1" s="1" t="inlineStr">
        <is>
          <t>industry</t>
        </is>
      </c>
      <c r="C1" s="1" t="inlineStr">
        <is>
          <t>total_news_count</t>
        </is>
      </c>
      <c r="D1" s="1" t="inlineStr">
        <is>
          <t>total_kri_count</t>
        </is>
      </c>
      <c r="E1" s="1" t="inlineStr">
        <is>
          <t>high_severity_kri_count</t>
        </is>
      </c>
      <c r="F1" s="1" t="inlineStr">
        <is>
          <t>medium_severity_kri_count</t>
        </is>
      </c>
      <c r="G1" s="1" t="inlineStr">
        <is>
          <t>low_severity_kri_count</t>
        </is>
      </c>
      <c r="H1" s="1" t="inlineStr">
        <is>
          <t>risk_score_sum</t>
        </is>
      </c>
      <c r="I1" t="inlineStr">
        <is>
          <t>excel_countifs_high</t>
        </is>
      </c>
      <c r="J1" t="inlineStr">
        <is>
          <t>excel_countifs_medium</t>
        </is>
      </c>
      <c r="K1" t="inlineStr">
        <is>
          <t>excel_sumifs_risk_score</t>
        </is>
      </c>
      <c r="L1" t="inlineStr">
        <is>
          <t>excel_xlookup_industry_demo</t>
        </is>
      </c>
    </row>
    <row r="2">
      <c r="A2" t="inlineStr">
        <is>
          <t>Taiwan Semiconductor Manufacturing Company</t>
        </is>
      </c>
      <c r="B2" t="inlineStr">
        <is>
          <t>semiconductor</t>
        </is>
      </c>
      <c r="C2" t="n">
        <v>0</v>
      </c>
      <c r="D2" t="n">
        <v>28</v>
      </c>
      <c r="E2" t="n">
        <v>1</v>
      </c>
      <c r="F2" t="n">
        <v>11</v>
      </c>
      <c r="G2" t="n">
        <v>16</v>
      </c>
      <c r="H2" t="n">
        <v>41</v>
      </c>
      <c r="I2">
        <f>COUNTIFS(KRI_Evidence!B:B,A2,KRI_Evidence!H:H,"high")</f>
        <v/>
      </c>
      <c r="J2">
        <f>COUNTIFS(KRI_Evidence!B:B,A2,KRI_Evidence!H:H,"medium")</f>
        <v/>
      </c>
      <c r="K2">
        <f>SUMIFS(KRI_Evidence!I:I,KRI_Evidence!B:B,A2)</f>
        <v/>
      </c>
      <c r="L2">
        <f>XLOOKUP(A2,Company_Profile!C:C,Company_Profile!D:D,"Not found")</f>
        <v/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8" customWidth="1" min="3" max="3"/>
    <col width="17" customWidth="1" min="4" max="4"/>
    <col width="25" customWidth="1" min="5" max="5"/>
    <col width="27" customWidth="1" min="6" max="6"/>
    <col width="24" customWidth="1" min="7" max="7"/>
    <col width="20" customWidth="1" min="8" max="8"/>
    <col width="45" customWidth="1" min="9" max="9"/>
  </cols>
  <sheetData>
    <row r="1">
      <c r="A1" s="2" t="inlineStr">
        <is>
          <t>說明：此 Excel 由 Python 自動產生，展示顧問與 business users 可用的 KRI 風險證據、新聞訊號與 dashboard-ready 分析結果；本 MVP 使用 sample/public-style data，最終判斷需人工審閱。</t>
        </is>
      </c>
    </row>
    <row r="3">
      <c r="A3" s="1" t="inlineStr">
        <is>
          <t>company_name</t>
        </is>
      </c>
      <c r="B3" s="1" t="inlineStr">
        <is>
          <t>industry</t>
        </is>
      </c>
      <c r="C3" s="1" t="inlineStr">
        <is>
          <t>total_news_count</t>
        </is>
      </c>
      <c r="D3" s="1" t="inlineStr">
        <is>
          <t>total_kri_count</t>
        </is>
      </c>
      <c r="E3" s="1" t="inlineStr">
        <is>
          <t>high_severity_kri_count</t>
        </is>
      </c>
      <c r="F3" s="1" t="inlineStr">
        <is>
          <t>medium_severity_kri_count</t>
        </is>
      </c>
      <c r="G3" s="1" t="inlineStr">
        <is>
          <t>low_severity_kri_count</t>
        </is>
      </c>
      <c r="H3" s="1" t="inlineStr">
        <is>
          <t>overall_risk_level</t>
        </is>
      </c>
      <c r="I3" s="1" t="inlineStr">
        <is>
          <t>recommended_follow_up</t>
        </is>
      </c>
      <c r="J3" s="1" t="inlineStr">
        <is>
          <t>excel_follow_up_flag</t>
        </is>
      </c>
    </row>
    <row r="4">
      <c r="A4" t="inlineStr">
        <is>
          <t>Taiwan Semiconductor Manufacturing Company</t>
        </is>
      </c>
      <c r="B4" t="inlineStr">
        <is>
          <t>Taiwan semiconductor / AI server</t>
        </is>
      </c>
      <c r="C4" t="n">
        <v>6</v>
      </c>
      <c r="D4" t="n">
        <v>28</v>
      </c>
      <c r="E4" t="n">
        <v>1</v>
      </c>
      <c r="F4" t="n">
        <v>11</v>
      </c>
      <c r="G4" t="n">
        <v>16</v>
      </c>
      <c r="H4" t="inlineStr">
        <is>
          <t>High</t>
        </is>
      </c>
      <c r="I4" t="inlineStr">
        <is>
          <t>Validate high/medium KRI evidence with management interviews and source documents.</t>
        </is>
      </c>
      <c r="J4">
        <f>IF(E4&gt;0,"Priority follow-up","Monitor")</f>
        <v/>
      </c>
    </row>
  </sheetData>
  <autoFilter ref="A3:J4"/>
  <mergeCells count="1">
    <mergeCell ref="A1:I1"/>
  </mergeCells>
  <conditionalFormatting sqref="E2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  <cfRule type="cellIs" priority="4" operator="equal" dxfId="0">
      <formula>"High"</formula>
    </cfRule>
    <cfRule type="cellIs" priority="5" operator="equal" dxfId="1">
      <formula>"Medium"</formula>
    </cfRule>
    <cfRule type="cellIs" priority="6" operator="equal" dxfId="2">
      <formula>"Low"</formula>
    </cfRule>
  </conditionalFormatting>
  <conditionalFormatting sqref="F2">
    <cfRule type="cellIs" priority="7" operator="equal" dxfId="0">
      <formula>"high"</formula>
    </cfRule>
    <cfRule type="cellIs" priority="8" operator="equal" dxfId="1">
      <formula>"medium"</formula>
    </cfRule>
    <cfRule type="cellIs" priority="9" operator="equal" dxfId="2">
      <formula>"low"</formula>
    </cfRule>
    <cfRule type="cellIs" priority="10" operator="equal" dxfId="0">
      <formula>"High"</formula>
    </cfRule>
    <cfRule type="cellIs" priority="11" operator="equal" dxfId="1">
      <formula>"Medium"</formula>
    </cfRule>
    <cfRule type="cellIs" priority="12" operator="equal" dxfId="2">
      <formula>"Low"</formula>
    </cfRule>
  </conditionalFormatting>
  <conditionalFormatting sqref="G2">
    <cfRule type="cellIs" priority="13" operator="equal" dxfId="0">
      <formula>"high"</formula>
    </cfRule>
    <cfRule type="cellIs" priority="14" operator="equal" dxfId="1">
      <formula>"medium"</formula>
    </cfRule>
    <cfRule type="cellIs" priority="15" operator="equal" dxfId="2">
      <formula>"low"</formula>
    </cfRule>
    <cfRule type="cellIs" priority="16" operator="equal" dxfId="0">
      <formula>"High"</formula>
    </cfRule>
    <cfRule type="cellIs" priority="17" operator="equal" dxfId="1">
      <formula>"Medium"</formula>
    </cfRule>
    <cfRule type="cellIs" priority="18" operator="equal" dxfId="2">
      <formula>"Low"</formula>
    </cfRule>
  </conditionalFormatting>
  <conditionalFormatting sqref="H2">
    <cfRule type="cellIs" priority="19" operator="equal" dxfId="0">
      <formula>"high"</formula>
    </cfRule>
    <cfRule type="cellIs" priority="20" operator="equal" dxfId="1">
      <formula>"medium"</formula>
    </cfRule>
    <cfRule type="cellIs" priority="21" operator="equal" dxfId="2">
      <formula>"low"</formula>
    </cfRule>
    <cfRule type="cellIs" priority="22" operator="equal" dxfId="0">
      <formula>"High"</formula>
    </cfRule>
    <cfRule type="cellIs" priority="23" operator="equal" dxfId="1">
      <formula>"Medium"</formula>
    </cfRule>
    <cfRule type="cellIs" priority="24" operator="equal" dxfId="2">
      <formula>"Low"</formula>
    </cfRule>
  </conditionalFormatting>
  <conditionalFormatting sqref="H4">
    <cfRule type="cellIs" priority="25" operator="equal" dxfId="0">
      <formula>"High"</formula>
    </cfRule>
    <cfRule type="cellIs" priority="26" operator="equal" dxfId="1">
      <formula>"Medium"</formula>
    </cfRule>
    <cfRule type="cellIs" priority="27" operator="equal" dxfId="2">
      <formula>"Low"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2026-05-06T15:00:16Z</dcterms:created>
  <dcterms:modified xsi:type="dcterms:W3CDTF">2026-05-06T15:16:03Z</dcterms:modified>
</cp:coreProperties>
</file>